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basgonzalez_udec_cl/Documents/Doctorado/1_Solvation in FDES/hfc-in-fes/md_files/0-density/scripts/"/>
    </mc:Choice>
  </mc:AlternateContent>
  <xr:revisionPtr revIDLastSave="35" documentId="13_ncr:1_{29C28101-F0B2-B348-9832-C615EA34C3F0}" xr6:coauthVersionLast="47" xr6:coauthVersionMax="47" xr10:uidLastSave="{B4625A81-0ACC-0D44-B1B8-6D778DCB7DA5}"/>
  <bookViews>
    <workbookView xWindow="0" yWindow="0" windowWidth="28800" windowHeight="18000" xr2:uid="{00000000-000D-0000-FFFF-FFFF00000000}"/>
  </bookViews>
  <sheets>
    <sheet name="phase-homo" sheetId="9" r:id="rId1"/>
    <sheet name="list-molecules" sheetId="7" r:id="rId2"/>
  </sheets>
  <definedNames>
    <definedName name="solver_adj" localSheetId="1" hidden="1">'list-molecules'!$H$4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'list-molecules'!$J$7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9" l="1"/>
  <c r="H18" i="9"/>
  <c r="I18" i="9" s="1"/>
  <c r="H16" i="9"/>
  <c r="H15" i="9"/>
  <c r="H13" i="9"/>
  <c r="I13" i="9" s="1"/>
  <c r="H12" i="9"/>
  <c r="I12" i="9" s="1"/>
  <c r="H10" i="9"/>
  <c r="J10" i="9" s="1"/>
  <c r="H9" i="9"/>
  <c r="I9" i="9" s="1"/>
  <c r="H7" i="9"/>
  <c r="H6" i="9"/>
  <c r="H4" i="9"/>
  <c r="H3" i="9"/>
  <c r="F14" i="9"/>
  <c r="F15" i="9"/>
  <c r="F16" i="9"/>
  <c r="F17" i="9"/>
  <c r="F18" i="9"/>
  <c r="F19" i="9"/>
  <c r="P19" i="9"/>
  <c r="P18" i="9"/>
  <c r="P17" i="9"/>
  <c r="P16" i="9"/>
  <c r="P15" i="9"/>
  <c r="P14" i="9"/>
  <c r="P13" i="9"/>
  <c r="P12" i="9"/>
  <c r="P11" i="9"/>
  <c r="P10" i="9"/>
  <c r="P9" i="9"/>
  <c r="P8" i="9"/>
  <c r="P6" i="9"/>
  <c r="P7" i="9"/>
  <c r="P5" i="9"/>
  <c r="I5" i="9"/>
  <c r="J5" i="9"/>
  <c r="N5" i="9"/>
  <c r="I6" i="9"/>
  <c r="J6" i="9"/>
  <c r="N6" i="9"/>
  <c r="I7" i="9"/>
  <c r="J7" i="9"/>
  <c r="N7" i="9"/>
  <c r="I8" i="9"/>
  <c r="J8" i="9"/>
  <c r="N8" i="9"/>
  <c r="J9" i="9"/>
  <c r="N9" i="9"/>
  <c r="I10" i="9"/>
  <c r="N10" i="9"/>
  <c r="F6" i="9"/>
  <c r="F9" i="9" s="1"/>
  <c r="F7" i="9"/>
  <c r="P3" i="9"/>
  <c r="P4" i="9"/>
  <c r="P2" i="9"/>
  <c r="N3" i="9"/>
  <c r="N4" i="9"/>
  <c r="I3" i="9"/>
  <c r="J3" i="9"/>
  <c r="I4" i="9"/>
  <c r="J4" i="9"/>
  <c r="N19" i="9"/>
  <c r="J19" i="9"/>
  <c r="I19" i="9"/>
  <c r="N18" i="9"/>
  <c r="N17" i="9"/>
  <c r="N16" i="9"/>
  <c r="N15" i="9"/>
  <c r="N14" i="9"/>
  <c r="N13" i="9"/>
  <c r="N12" i="9"/>
  <c r="J12" i="9"/>
  <c r="J13" i="9"/>
  <c r="I14" i="9"/>
  <c r="J14" i="9"/>
  <c r="I15" i="9"/>
  <c r="J15" i="9"/>
  <c r="I16" i="9"/>
  <c r="J16" i="9"/>
  <c r="I17" i="9"/>
  <c r="J17" i="9"/>
  <c r="J18" i="9"/>
  <c r="A12" i="9"/>
  <c r="A13" i="9" s="1"/>
  <c r="A14" i="9" s="1"/>
  <c r="A15" i="9" s="1"/>
  <c r="A16" i="9" s="1"/>
  <c r="A17" i="9" s="1"/>
  <c r="A18" i="9" s="1"/>
  <c r="A19" i="9" s="1"/>
  <c r="N2" i="9"/>
  <c r="J2" i="9"/>
  <c r="I2" i="9"/>
  <c r="F5" i="9"/>
  <c r="F10" i="9" s="1"/>
  <c r="J11" i="9"/>
  <c r="I11" i="9"/>
  <c r="F8" i="9" l="1"/>
  <c r="N11" i="9"/>
</calcChain>
</file>

<file path=xl/sharedStrings.xml><?xml version="1.0" encoding="utf-8"?>
<sst xmlns="http://schemas.openxmlformats.org/spreadsheetml/2006/main" count="161" uniqueCount="65">
  <si>
    <t>id</t>
  </si>
  <si>
    <t>System name</t>
  </si>
  <si>
    <t>TAG</t>
  </si>
  <si>
    <t>T [K]</t>
  </si>
  <si>
    <t>P [bar]</t>
  </si>
  <si>
    <t>nc</t>
  </si>
  <si>
    <t>Lx [nm]</t>
  </si>
  <si>
    <t>Ly [nm]</t>
  </si>
  <si>
    <t>Lz [nm]</t>
  </si>
  <si>
    <t>molecule 1</t>
  </si>
  <si>
    <t>molecule 2</t>
  </si>
  <si>
    <t>molecule 3</t>
  </si>
  <si>
    <t>molecule 4</t>
  </si>
  <si>
    <t>molecule 5</t>
  </si>
  <si>
    <t>molecule 6</t>
  </si>
  <si>
    <t>molecule 7</t>
  </si>
  <si>
    <t>molecule 8</t>
  </si>
  <si>
    <t>molecule 9</t>
  </si>
  <si>
    <t>molecule 10</t>
  </si>
  <si>
    <t>From</t>
  </si>
  <si>
    <t>Name</t>
  </si>
  <si>
    <t>ID-Name</t>
  </si>
  <si>
    <t>N° sites</t>
  </si>
  <si>
    <t>MW</t>
  </si>
  <si>
    <t>amount</t>
  </si>
  <si>
    <t>FF</t>
  </si>
  <si>
    <t>1-ethyl-3-methylimidazolium</t>
  </si>
  <si>
    <t>CL&amp;P</t>
  </si>
  <si>
    <t>nonafluorobutanesulfonate</t>
  </si>
  <si>
    <t>NFS</t>
  </si>
  <si>
    <t>C2M</t>
  </si>
  <si>
    <t>tetrabutylammonium</t>
  </si>
  <si>
    <t>TBA</t>
  </si>
  <si>
    <t>OPLS-AA</t>
  </si>
  <si>
    <t>nonafluoropentanoic acid</t>
  </si>
  <si>
    <t>PFPA</t>
  </si>
  <si>
    <t>Cation</t>
  </si>
  <si>
    <t>Anion</t>
  </si>
  <si>
    <t>HBD</t>
  </si>
  <si>
    <t>heptadecafluorooctanesulfonate</t>
  </si>
  <si>
    <t>HDFS</t>
  </si>
  <si>
    <t>C2M HDFS PFPA (1:2)</t>
  </si>
  <si>
    <t>C2M HDFS PFPA (2:1)</t>
  </si>
  <si>
    <t>C2M HDFS PFPA (1:1)</t>
  </si>
  <si>
    <t>TBA NFS PFPA (2:1)</t>
  </si>
  <si>
    <t>TBA NFS PFPA (1:1)</t>
  </si>
  <si>
    <t>TBA NFS PFPA (1:2)</t>
  </si>
  <si>
    <t>FES1_1_293.15K</t>
  </si>
  <si>
    <t>FES1_1_303.15K</t>
  </si>
  <si>
    <t>FES1_1_313.15K</t>
  </si>
  <si>
    <t>FES1_2_293.15K</t>
  </si>
  <si>
    <t>FES1_2_303.15K</t>
  </si>
  <si>
    <t>FES1_3_303.15K</t>
  </si>
  <si>
    <t>FES1_2_313.15K</t>
  </si>
  <si>
    <t>FES1_3_313.15K</t>
  </si>
  <si>
    <t>FES1_3_293.15K</t>
  </si>
  <si>
    <t>FES2_1_293.15K</t>
  </si>
  <si>
    <t>FES2_1_303.15K</t>
  </si>
  <si>
    <t>FES2_1_313.15K</t>
  </si>
  <si>
    <t>FES2_2_293.15K</t>
  </si>
  <si>
    <t>FES2_2_303.15K</t>
  </si>
  <si>
    <t>FES2_2_313.15K</t>
  </si>
  <si>
    <t>FES2_3_293.15K</t>
  </si>
  <si>
    <t>FES2_3_303.15K</t>
  </si>
  <si>
    <t>FES2_3_313.15K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</si>
</sst>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7" xfId="0" applyBorder="1"/>
    <xf numFmtId="0" fontId="0" fillId="0" borderId="2" xfId="0" applyBorder="1"/>
    <xf numFmtId="0" fontId="0" fillId="0" borderId="0" xfId="0" applyAlignment="1">
      <alignment horizontal="right"/>
    </xf>
    <xf numFmtId="165" fontId="0" fillId="0" borderId="1" xfId="0" applyNumberFormat="1" applyBorder="1"/>
    <xf numFmtId="165" fontId="0" fillId="0" borderId="0" xfId="0" applyNumberFormat="1"/>
    <xf numFmtId="165" fontId="0" fillId="0" borderId="2" xfId="0" applyNumberFormat="1" applyBorder="1"/>
    <xf numFmtId="1" fontId="0" fillId="0" borderId="2" xfId="0" applyNumberFormat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4" fillId="0" borderId="0" xfId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4" borderId="0" xfId="0" applyFill="1"/>
    <xf numFmtId="166" fontId="0" fillId="0" borderId="2" xfId="0" applyNumberFormat="1" applyBorder="1"/>
    <xf numFmtId="0" fontId="0" fillId="2" borderId="1" xfId="0" applyFill="1" applyBorder="1"/>
    <xf numFmtId="0" fontId="0" fillId="2" borderId="7" xfId="0" applyFill="1" applyBorder="1"/>
    <xf numFmtId="165" fontId="0" fillId="2" borderId="1" xfId="0" applyNumberFormat="1" applyFill="1" applyBorder="1"/>
    <xf numFmtId="165" fontId="0" fillId="2" borderId="0" xfId="0" applyNumberFormat="1" applyFill="1"/>
    <xf numFmtId="165" fontId="0" fillId="2" borderId="2" xfId="0" applyNumberFormat="1" applyFill="1" applyBorder="1"/>
    <xf numFmtId="1" fontId="0" fillId="2" borderId="2" xfId="0" applyNumberFormat="1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7" xfId="0" applyFill="1" applyBorder="1"/>
    <xf numFmtId="165" fontId="0" fillId="3" borderId="1" xfId="0" applyNumberFormat="1" applyFill="1" applyBorder="1"/>
    <xf numFmtId="165" fontId="0" fillId="3" borderId="0" xfId="0" applyNumberFormat="1" applyFill="1"/>
    <xf numFmtId="165" fontId="0" fillId="3" borderId="2" xfId="0" applyNumberFormat="1" applyFill="1" applyBorder="1"/>
    <xf numFmtId="1" fontId="0" fillId="3" borderId="2" xfId="0" applyNumberFormat="1" applyFill="1" applyBorder="1"/>
    <xf numFmtId="0" fontId="0" fillId="3" borderId="2" xfId="0" applyFill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zoomScale="130" zoomScaleNormal="130" workbookViewId="0">
      <selection activeCell="G24" sqref="G24"/>
    </sheetView>
  </sheetViews>
  <sheetFormatPr baseColWidth="10" defaultColWidth="11.5" defaultRowHeight="15" x14ac:dyDescent="0.2"/>
  <cols>
    <col min="1" max="1" width="3.33203125" style="5" customWidth="1"/>
    <col min="2" max="2" width="26.6640625" style="7" bestFit="1" customWidth="1"/>
    <col min="3" max="3" width="21.1640625" customWidth="1"/>
    <col min="4" max="4" width="11.5" style="7" customWidth="1"/>
    <col min="5" max="5" width="8.6640625" customWidth="1"/>
    <col min="6" max="6" width="8.6640625" style="7" customWidth="1"/>
    <col min="7" max="7" width="4.6640625" customWidth="1"/>
    <col min="8" max="8" width="7.5" style="5" bestFit="1" customWidth="1"/>
    <col min="9" max="9" width="7.5" bestFit="1" customWidth="1"/>
    <col min="10" max="10" width="7.5" style="8" bestFit="1" customWidth="1"/>
    <col min="11" max="11" width="27.1640625" style="5" bestFit="1" customWidth="1"/>
    <col min="12" max="12" width="9.6640625" style="13" customWidth="1"/>
    <col min="13" max="13" width="26.1640625" style="5" bestFit="1" customWidth="1"/>
    <col min="14" max="14" width="9.6640625" style="8" customWidth="1"/>
    <col min="15" max="15" width="24.1640625" bestFit="1" customWidth="1"/>
    <col min="16" max="16" width="9.6640625" style="8" customWidth="1"/>
    <col min="17" max="17" width="20.6640625" customWidth="1"/>
    <col min="18" max="18" width="9.6640625" customWidth="1"/>
    <col min="19" max="19" width="20.6640625" style="5" customWidth="1"/>
    <col min="20" max="20" width="9.6640625" style="8" customWidth="1"/>
    <col min="21" max="21" width="20.6640625" customWidth="1"/>
    <col min="22" max="22" width="9.6640625" customWidth="1"/>
    <col min="23" max="23" width="20.6640625" style="5" customWidth="1"/>
    <col min="24" max="24" width="9.6640625" style="8" customWidth="1"/>
    <col min="25" max="25" width="20.6640625" customWidth="1"/>
    <col min="26" max="26" width="9.6640625" customWidth="1"/>
    <col min="27" max="27" width="20.6640625" style="5" customWidth="1"/>
    <col min="28" max="28" width="9.6640625" style="8" customWidth="1"/>
    <col min="29" max="29" width="20.6640625" style="5" customWidth="1"/>
    <col min="30" max="30" width="9.6640625" style="8" customWidth="1"/>
  </cols>
  <sheetData>
    <row r="1" spans="1:30" s="1" customFormat="1" ht="45.75" customHeight="1" thickBot="1" x14ac:dyDescent="0.25">
      <c r="A1" s="14" t="s">
        <v>0</v>
      </c>
      <c r="B1" s="15" t="s">
        <v>1</v>
      </c>
      <c r="C1" s="16" t="s">
        <v>2</v>
      </c>
      <c r="D1" s="15" t="s">
        <v>25</v>
      </c>
      <c r="E1" s="16" t="s">
        <v>3</v>
      </c>
      <c r="F1" s="15" t="s">
        <v>4</v>
      </c>
      <c r="G1" s="16" t="s">
        <v>5</v>
      </c>
      <c r="H1" s="14" t="s">
        <v>6</v>
      </c>
      <c r="I1" s="16" t="s">
        <v>7</v>
      </c>
      <c r="J1" s="17" t="s">
        <v>8</v>
      </c>
      <c r="K1" s="18" t="s">
        <v>9</v>
      </c>
      <c r="L1" s="19" t="s">
        <v>24</v>
      </c>
      <c r="M1" s="18" t="s">
        <v>10</v>
      </c>
      <c r="N1" s="19" t="s">
        <v>24</v>
      </c>
      <c r="O1" s="20" t="s">
        <v>11</v>
      </c>
      <c r="P1" s="19" t="s">
        <v>24</v>
      </c>
      <c r="Q1" s="20" t="s">
        <v>12</v>
      </c>
      <c r="R1" s="21" t="s">
        <v>24</v>
      </c>
      <c r="S1" s="18" t="s">
        <v>13</v>
      </c>
      <c r="T1" s="19" t="s">
        <v>24</v>
      </c>
      <c r="U1" s="20" t="s">
        <v>14</v>
      </c>
      <c r="V1" s="21" t="s">
        <v>24</v>
      </c>
      <c r="W1" s="18" t="s">
        <v>15</v>
      </c>
      <c r="X1" s="19" t="s">
        <v>24</v>
      </c>
      <c r="Y1" s="20" t="s">
        <v>16</v>
      </c>
      <c r="Z1" s="21" t="s">
        <v>24</v>
      </c>
      <c r="AA1" s="18" t="s">
        <v>17</v>
      </c>
      <c r="AB1" s="19" t="s">
        <v>24</v>
      </c>
      <c r="AC1" s="18" t="s">
        <v>18</v>
      </c>
      <c r="AD1" s="19" t="s">
        <v>24</v>
      </c>
    </row>
    <row r="2" spans="1:30" s="23" customFormat="1" x14ac:dyDescent="0.2">
      <c r="A2" s="28">
        <v>1</v>
      </c>
      <c r="B2" s="29" t="s">
        <v>42</v>
      </c>
      <c r="C2" s="23" t="s">
        <v>47</v>
      </c>
      <c r="D2" s="29" t="s">
        <v>33</v>
      </c>
      <c r="E2" s="23">
        <v>293.14999999999998</v>
      </c>
      <c r="F2" s="29">
        <v>1.01</v>
      </c>
      <c r="G2" s="23">
        <v>3</v>
      </c>
      <c r="H2" s="30">
        <v>6.7</v>
      </c>
      <c r="I2" s="31">
        <f>H2</f>
        <v>6.7</v>
      </c>
      <c r="J2" s="32">
        <f>H2</f>
        <v>6.7</v>
      </c>
      <c r="K2" s="28" t="s">
        <v>26</v>
      </c>
      <c r="L2" s="33">
        <v>400</v>
      </c>
      <c r="M2" s="28" t="s">
        <v>39</v>
      </c>
      <c r="N2" s="33">
        <f t="shared" ref="N2:N18" si="0">L2</f>
        <v>400</v>
      </c>
      <c r="O2" s="23" t="s">
        <v>34</v>
      </c>
      <c r="P2" s="33">
        <f>L2/2</f>
        <v>200</v>
      </c>
      <c r="S2" s="28"/>
      <c r="T2" s="34"/>
      <c r="W2" s="28"/>
      <c r="X2" s="34"/>
      <c r="AA2" s="28"/>
      <c r="AB2" s="34"/>
      <c r="AC2" s="28"/>
      <c r="AD2" s="34"/>
    </row>
    <row r="3" spans="1:30" s="23" customFormat="1" x14ac:dyDescent="0.2">
      <c r="A3" s="28">
        <v>2</v>
      </c>
      <c r="B3" s="29" t="s">
        <v>42</v>
      </c>
      <c r="C3" s="23" t="s">
        <v>48</v>
      </c>
      <c r="D3" s="29" t="s">
        <v>33</v>
      </c>
      <c r="E3" s="23">
        <v>303.14999999999998</v>
      </c>
      <c r="F3" s="29">
        <v>1.01</v>
      </c>
      <c r="G3" s="23">
        <v>3</v>
      </c>
      <c r="H3" s="30">
        <f>H2</f>
        <v>6.7</v>
      </c>
      <c r="I3" s="31">
        <f t="shared" ref="I3:I10" si="1">H3</f>
        <v>6.7</v>
      </c>
      <c r="J3" s="32">
        <f t="shared" ref="J3:J4" si="2">H3</f>
        <v>6.7</v>
      </c>
      <c r="K3" s="28" t="s">
        <v>26</v>
      </c>
      <c r="L3" s="33">
        <v>400</v>
      </c>
      <c r="M3" s="28" t="s">
        <v>39</v>
      </c>
      <c r="N3" s="33">
        <f t="shared" si="0"/>
        <v>400</v>
      </c>
      <c r="O3" s="23" t="s">
        <v>34</v>
      </c>
      <c r="P3" s="33">
        <f t="shared" ref="P3:P4" si="3">L3/2</f>
        <v>200</v>
      </c>
      <c r="S3" s="28"/>
      <c r="T3" s="34"/>
      <c r="W3" s="28"/>
      <c r="X3" s="34"/>
      <c r="AA3" s="28"/>
      <c r="AB3" s="34"/>
      <c r="AC3" s="28"/>
      <c r="AD3" s="34"/>
    </row>
    <row r="4" spans="1:30" s="23" customFormat="1" x14ac:dyDescent="0.2">
      <c r="A4" s="28">
        <v>3</v>
      </c>
      <c r="B4" s="29" t="s">
        <v>42</v>
      </c>
      <c r="C4" s="23" t="s">
        <v>49</v>
      </c>
      <c r="D4" s="29" t="s">
        <v>33</v>
      </c>
      <c r="E4" s="23">
        <v>313.14999999999998</v>
      </c>
      <c r="F4" s="29">
        <v>1.01</v>
      </c>
      <c r="G4" s="23">
        <v>3</v>
      </c>
      <c r="H4" s="30">
        <f>H2</f>
        <v>6.7</v>
      </c>
      <c r="I4" s="31">
        <f t="shared" si="1"/>
        <v>6.7</v>
      </c>
      <c r="J4" s="32">
        <f t="shared" si="2"/>
        <v>6.7</v>
      </c>
      <c r="K4" s="28" t="s">
        <v>26</v>
      </c>
      <c r="L4" s="33">
        <v>400</v>
      </c>
      <c r="M4" s="28" t="s">
        <v>39</v>
      </c>
      <c r="N4" s="33">
        <f t="shared" si="0"/>
        <v>400</v>
      </c>
      <c r="O4" s="23" t="s">
        <v>34</v>
      </c>
      <c r="P4" s="33">
        <f t="shared" si="3"/>
        <v>200</v>
      </c>
      <c r="S4" s="28"/>
      <c r="T4" s="34"/>
      <c r="W4" s="28"/>
      <c r="X4" s="34"/>
      <c r="AA4" s="28"/>
      <c r="AB4" s="34"/>
      <c r="AC4" s="28"/>
      <c r="AD4" s="34"/>
    </row>
    <row r="5" spans="1:30" s="23" customFormat="1" x14ac:dyDescent="0.2">
      <c r="A5" s="28">
        <v>4</v>
      </c>
      <c r="B5" s="29" t="s">
        <v>43</v>
      </c>
      <c r="C5" s="23" t="s">
        <v>50</v>
      </c>
      <c r="D5" s="29" t="s">
        <v>33</v>
      </c>
      <c r="E5" s="23">
        <v>293.14999999999998</v>
      </c>
      <c r="F5" s="29">
        <f>F2</f>
        <v>1.01</v>
      </c>
      <c r="G5" s="23">
        <v>3</v>
      </c>
      <c r="H5" s="30">
        <v>7.1</v>
      </c>
      <c r="I5" s="31">
        <f t="shared" si="1"/>
        <v>7.1</v>
      </c>
      <c r="J5" s="32">
        <f t="shared" ref="J5:J10" si="4">H5</f>
        <v>7.1</v>
      </c>
      <c r="K5" s="28" t="s">
        <v>26</v>
      </c>
      <c r="L5" s="33">
        <v>400</v>
      </c>
      <c r="M5" s="28" t="s">
        <v>39</v>
      </c>
      <c r="N5" s="33">
        <f t="shared" ref="N5:N10" si="5">L5</f>
        <v>400</v>
      </c>
      <c r="O5" s="23" t="s">
        <v>34</v>
      </c>
      <c r="P5" s="33">
        <f>L5/1</f>
        <v>400</v>
      </c>
      <c r="S5" s="28"/>
      <c r="T5" s="34"/>
      <c r="W5" s="28"/>
      <c r="X5" s="34"/>
      <c r="AA5" s="28"/>
      <c r="AB5" s="34"/>
      <c r="AC5" s="28"/>
      <c r="AD5" s="34"/>
    </row>
    <row r="6" spans="1:30" s="23" customFormat="1" x14ac:dyDescent="0.2">
      <c r="A6" s="28">
        <v>5</v>
      </c>
      <c r="B6" s="29" t="s">
        <v>43</v>
      </c>
      <c r="C6" s="23" t="s">
        <v>51</v>
      </c>
      <c r="D6" s="29" t="s">
        <v>33</v>
      </c>
      <c r="E6" s="23">
        <v>303.14999999999998</v>
      </c>
      <c r="F6" s="29">
        <f t="shared" ref="F6:F9" si="6">F3</f>
        <v>1.01</v>
      </c>
      <c r="G6" s="23">
        <v>3</v>
      </c>
      <c r="H6" s="30">
        <f>H5</f>
        <v>7.1</v>
      </c>
      <c r="I6" s="31">
        <f t="shared" si="1"/>
        <v>7.1</v>
      </c>
      <c r="J6" s="32">
        <f t="shared" si="4"/>
        <v>7.1</v>
      </c>
      <c r="K6" s="28" t="s">
        <v>26</v>
      </c>
      <c r="L6" s="33">
        <v>400</v>
      </c>
      <c r="M6" s="28" t="s">
        <v>39</v>
      </c>
      <c r="N6" s="33">
        <f t="shared" si="5"/>
        <v>400</v>
      </c>
      <c r="O6" s="23" t="s">
        <v>34</v>
      </c>
      <c r="P6" s="33">
        <f t="shared" ref="P6:P7" si="7">L6/1</f>
        <v>400</v>
      </c>
      <c r="S6" s="28"/>
      <c r="T6" s="34"/>
      <c r="W6" s="28"/>
      <c r="X6" s="34"/>
      <c r="AA6" s="28"/>
      <c r="AB6" s="34"/>
      <c r="AC6" s="28"/>
      <c r="AD6" s="34"/>
    </row>
    <row r="7" spans="1:30" s="23" customFormat="1" x14ac:dyDescent="0.2">
      <c r="A7" s="28">
        <v>6</v>
      </c>
      <c r="B7" s="29" t="s">
        <v>43</v>
      </c>
      <c r="C7" s="23" t="s">
        <v>53</v>
      </c>
      <c r="D7" s="29" t="s">
        <v>33</v>
      </c>
      <c r="E7" s="23">
        <v>313.14999999999998</v>
      </c>
      <c r="F7" s="29">
        <f t="shared" si="6"/>
        <v>1.01</v>
      </c>
      <c r="G7" s="23">
        <v>3</v>
      </c>
      <c r="H7" s="30">
        <f>H5</f>
        <v>7.1</v>
      </c>
      <c r="I7" s="31">
        <f t="shared" si="1"/>
        <v>7.1</v>
      </c>
      <c r="J7" s="32">
        <f t="shared" si="4"/>
        <v>7.1</v>
      </c>
      <c r="K7" s="28" t="s">
        <v>26</v>
      </c>
      <c r="L7" s="33">
        <v>400</v>
      </c>
      <c r="M7" s="28" t="s">
        <v>39</v>
      </c>
      <c r="N7" s="33">
        <f t="shared" si="5"/>
        <v>400</v>
      </c>
      <c r="O7" s="23" t="s">
        <v>34</v>
      </c>
      <c r="P7" s="33">
        <f t="shared" si="7"/>
        <v>400</v>
      </c>
      <c r="S7" s="28"/>
      <c r="T7" s="34"/>
      <c r="W7" s="28"/>
      <c r="X7" s="34"/>
      <c r="AA7" s="28"/>
      <c r="AB7" s="34"/>
      <c r="AC7" s="28"/>
      <c r="AD7" s="34"/>
    </row>
    <row r="8" spans="1:30" s="23" customFormat="1" x14ac:dyDescent="0.2">
      <c r="A8" s="28">
        <v>7</v>
      </c>
      <c r="B8" s="29" t="s">
        <v>41</v>
      </c>
      <c r="C8" s="23" t="s">
        <v>55</v>
      </c>
      <c r="D8" s="29" t="s">
        <v>33</v>
      </c>
      <c r="E8" s="23">
        <v>293.14999999999998</v>
      </c>
      <c r="F8" s="29">
        <f t="shared" si="6"/>
        <v>1.01</v>
      </c>
      <c r="G8" s="23">
        <v>3</v>
      </c>
      <c r="H8" s="30">
        <v>7.7</v>
      </c>
      <c r="I8" s="31">
        <f t="shared" si="1"/>
        <v>7.7</v>
      </c>
      <c r="J8" s="32">
        <f t="shared" si="4"/>
        <v>7.7</v>
      </c>
      <c r="K8" s="28" t="s">
        <v>26</v>
      </c>
      <c r="L8" s="33">
        <v>400</v>
      </c>
      <c r="M8" s="28" t="s">
        <v>39</v>
      </c>
      <c r="N8" s="33">
        <f t="shared" si="5"/>
        <v>400</v>
      </c>
      <c r="O8" s="23" t="s">
        <v>34</v>
      </c>
      <c r="P8" s="33">
        <f>L8/0.5</f>
        <v>800</v>
      </c>
      <c r="S8" s="28"/>
      <c r="T8" s="34"/>
      <c r="W8" s="28"/>
      <c r="X8" s="34"/>
      <c r="AA8" s="28"/>
      <c r="AB8" s="34"/>
      <c r="AC8" s="28"/>
      <c r="AD8" s="34"/>
    </row>
    <row r="9" spans="1:30" s="23" customFormat="1" x14ac:dyDescent="0.2">
      <c r="A9" s="28">
        <v>8</v>
      </c>
      <c r="B9" s="29" t="s">
        <v>41</v>
      </c>
      <c r="C9" s="23" t="s">
        <v>52</v>
      </c>
      <c r="D9" s="29" t="s">
        <v>33</v>
      </c>
      <c r="E9" s="23">
        <v>303.14999999999998</v>
      </c>
      <c r="F9" s="29">
        <f t="shared" si="6"/>
        <v>1.01</v>
      </c>
      <c r="G9" s="23">
        <v>3</v>
      </c>
      <c r="H9" s="30">
        <f>H8</f>
        <v>7.7</v>
      </c>
      <c r="I9" s="31">
        <f t="shared" si="1"/>
        <v>7.7</v>
      </c>
      <c r="J9" s="32">
        <f t="shared" si="4"/>
        <v>7.7</v>
      </c>
      <c r="K9" s="28" t="s">
        <v>26</v>
      </c>
      <c r="L9" s="33">
        <v>400</v>
      </c>
      <c r="M9" s="28" t="s">
        <v>39</v>
      </c>
      <c r="N9" s="33">
        <f t="shared" si="5"/>
        <v>400</v>
      </c>
      <c r="O9" s="23" t="s">
        <v>34</v>
      </c>
      <c r="P9" s="33">
        <f>L9/0.5</f>
        <v>800</v>
      </c>
      <c r="S9" s="28"/>
      <c r="T9" s="34"/>
      <c r="W9" s="28"/>
      <c r="X9" s="34"/>
      <c r="AA9" s="28"/>
      <c r="AB9" s="34"/>
      <c r="AC9" s="28"/>
      <c r="AD9" s="34"/>
    </row>
    <row r="10" spans="1:30" s="23" customFormat="1" x14ac:dyDescent="0.2">
      <c r="A10" s="28">
        <v>9</v>
      </c>
      <c r="B10" s="29" t="s">
        <v>41</v>
      </c>
      <c r="C10" s="23" t="s">
        <v>54</v>
      </c>
      <c r="D10" s="29" t="s">
        <v>33</v>
      </c>
      <c r="E10" s="23">
        <v>313.14999999999998</v>
      </c>
      <c r="F10" s="29">
        <f>F5</f>
        <v>1.01</v>
      </c>
      <c r="G10" s="23">
        <v>3</v>
      </c>
      <c r="H10" s="30">
        <f>H8</f>
        <v>7.7</v>
      </c>
      <c r="I10" s="31">
        <f t="shared" si="1"/>
        <v>7.7</v>
      </c>
      <c r="J10" s="32">
        <f t="shared" si="4"/>
        <v>7.7</v>
      </c>
      <c r="K10" s="28" t="s">
        <v>26</v>
      </c>
      <c r="L10" s="33">
        <v>400</v>
      </c>
      <c r="M10" s="28" t="s">
        <v>39</v>
      </c>
      <c r="N10" s="33">
        <f t="shared" si="5"/>
        <v>400</v>
      </c>
      <c r="O10" s="23" t="s">
        <v>34</v>
      </c>
      <c r="P10" s="33">
        <f>L10/0.5</f>
        <v>800</v>
      </c>
      <c r="S10" s="28"/>
      <c r="T10" s="34"/>
      <c r="W10" s="28"/>
      <c r="X10" s="34"/>
      <c r="AA10" s="28"/>
      <c r="AB10" s="34"/>
      <c r="AC10" s="28"/>
      <c r="AD10" s="34"/>
    </row>
    <row r="11" spans="1:30" s="25" customFormat="1" x14ac:dyDescent="0.2">
      <c r="A11" s="35">
        <v>10</v>
      </c>
      <c r="B11" s="36" t="s">
        <v>44</v>
      </c>
      <c r="C11" s="25" t="s">
        <v>56</v>
      </c>
      <c r="D11" s="36" t="s">
        <v>33</v>
      </c>
      <c r="E11" s="25">
        <v>293.14999999999998</v>
      </c>
      <c r="F11" s="36">
        <v>1.01</v>
      </c>
      <c r="G11" s="25">
        <v>3</v>
      </c>
      <c r="H11" s="37">
        <v>7</v>
      </c>
      <c r="I11" s="38">
        <f>H11</f>
        <v>7</v>
      </c>
      <c r="J11" s="39">
        <f>H11</f>
        <v>7</v>
      </c>
      <c r="K11" s="35" t="s">
        <v>31</v>
      </c>
      <c r="L11" s="40">
        <v>400</v>
      </c>
      <c r="M11" s="35" t="s">
        <v>28</v>
      </c>
      <c r="N11" s="40">
        <f t="shared" si="0"/>
        <v>400</v>
      </c>
      <c r="O11" s="25" t="s">
        <v>34</v>
      </c>
      <c r="P11" s="40">
        <f>L11/2</f>
        <v>200</v>
      </c>
      <c r="S11" s="35"/>
      <c r="T11" s="41"/>
      <c r="W11" s="35"/>
      <c r="X11" s="41"/>
      <c r="AA11" s="35"/>
      <c r="AB11" s="41"/>
      <c r="AC11" s="35"/>
      <c r="AD11" s="41"/>
    </row>
    <row r="12" spans="1:30" s="25" customFormat="1" x14ac:dyDescent="0.2">
      <c r="A12" s="35">
        <f t="shared" ref="A12:A19" si="8">A11+1</f>
        <v>11</v>
      </c>
      <c r="B12" s="36" t="s">
        <v>44</v>
      </c>
      <c r="C12" s="25" t="s">
        <v>57</v>
      </c>
      <c r="D12" s="36" t="s">
        <v>33</v>
      </c>
      <c r="E12" s="25">
        <v>303.14999999999998</v>
      </c>
      <c r="F12" s="36">
        <v>1.01</v>
      </c>
      <c r="G12" s="25">
        <v>3</v>
      </c>
      <c r="H12" s="37">
        <f>H11</f>
        <v>7</v>
      </c>
      <c r="I12" s="38">
        <f t="shared" ref="I12:I18" si="9">H12</f>
        <v>7</v>
      </c>
      <c r="J12" s="39">
        <f t="shared" ref="J12:J18" si="10">H12</f>
        <v>7</v>
      </c>
      <c r="K12" s="35" t="s">
        <v>31</v>
      </c>
      <c r="L12" s="40">
        <v>400</v>
      </c>
      <c r="M12" s="35" t="s">
        <v>28</v>
      </c>
      <c r="N12" s="40">
        <f t="shared" si="0"/>
        <v>400</v>
      </c>
      <c r="O12" s="25" t="s">
        <v>34</v>
      </c>
      <c r="P12" s="40">
        <f t="shared" ref="P12:P13" si="11">L12/2</f>
        <v>200</v>
      </c>
      <c r="S12" s="35"/>
      <c r="T12" s="41"/>
      <c r="W12" s="35"/>
      <c r="X12" s="41"/>
      <c r="AA12" s="35"/>
      <c r="AB12" s="41"/>
      <c r="AC12" s="35"/>
      <c r="AD12" s="41"/>
    </row>
    <row r="13" spans="1:30" s="25" customFormat="1" x14ac:dyDescent="0.2">
      <c r="A13" s="35">
        <f t="shared" si="8"/>
        <v>12</v>
      </c>
      <c r="B13" s="36" t="s">
        <v>44</v>
      </c>
      <c r="C13" s="25" t="s">
        <v>58</v>
      </c>
      <c r="D13" s="36" t="s">
        <v>33</v>
      </c>
      <c r="E13" s="25">
        <v>313.14999999999998</v>
      </c>
      <c r="F13" s="36">
        <v>1.01</v>
      </c>
      <c r="G13" s="25">
        <v>3</v>
      </c>
      <c r="H13" s="37">
        <f>H11</f>
        <v>7</v>
      </c>
      <c r="I13" s="38">
        <f t="shared" si="9"/>
        <v>7</v>
      </c>
      <c r="J13" s="39">
        <f t="shared" si="10"/>
        <v>7</v>
      </c>
      <c r="K13" s="35" t="s">
        <v>31</v>
      </c>
      <c r="L13" s="40">
        <v>400</v>
      </c>
      <c r="M13" s="35" t="s">
        <v>28</v>
      </c>
      <c r="N13" s="40">
        <f t="shared" si="0"/>
        <v>400</v>
      </c>
      <c r="O13" s="25" t="s">
        <v>34</v>
      </c>
      <c r="P13" s="40">
        <f t="shared" si="11"/>
        <v>200</v>
      </c>
      <c r="S13" s="35"/>
      <c r="T13" s="41"/>
      <c r="W13" s="35"/>
      <c r="X13" s="41"/>
      <c r="AA13" s="35"/>
      <c r="AB13" s="41"/>
      <c r="AC13" s="35"/>
      <c r="AD13" s="41"/>
    </row>
    <row r="14" spans="1:30" s="25" customFormat="1" x14ac:dyDescent="0.2">
      <c r="A14" s="35">
        <f t="shared" si="8"/>
        <v>13</v>
      </c>
      <c r="B14" s="36" t="s">
        <v>45</v>
      </c>
      <c r="C14" s="25" t="s">
        <v>59</v>
      </c>
      <c r="D14" s="36" t="s">
        <v>33</v>
      </c>
      <c r="E14" s="25">
        <v>293.14999999999998</v>
      </c>
      <c r="F14" s="36">
        <f>F11</f>
        <v>1.01</v>
      </c>
      <c r="G14" s="25">
        <v>3</v>
      </c>
      <c r="H14" s="37">
        <v>7.4</v>
      </c>
      <c r="I14" s="38">
        <f t="shared" si="9"/>
        <v>7.4</v>
      </c>
      <c r="J14" s="39">
        <f t="shared" si="10"/>
        <v>7.4</v>
      </c>
      <c r="K14" s="35" t="s">
        <v>31</v>
      </c>
      <c r="L14" s="40">
        <v>400</v>
      </c>
      <c r="M14" s="35" t="s">
        <v>28</v>
      </c>
      <c r="N14" s="40">
        <f t="shared" si="0"/>
        <v>400</v>
      </c>
      <c r="O14" s="25" t="s">
        <v>34</v>
      </c>
      <c r="P14" s="40">
        <f>L14/1</f>
        <v>400</v>
      </c>
      <c r="S14" s="35"/>
      <c r="T14" s="41"/>
      <c r="W14" s="35"/>
      <c r="X14" s="41"/>
      <c r="AA14" s="35"/>
      <c r="AB14" s="41"/>
      <c r="AC14" s="35"/>
      <c r="AD14" s="41"/>
    </row>
    <row r="15" spans="1:30" s="25" customFormat="1" x14ac:dyDescent="0.2">
      <c r="A15" s="35">
        <f t="shared" si="8"/>
        <v>14</v>
      </c>
      <c r="B15" s="36" t="s">
        <v>45</v>
      </c>
      <c r="C15" s="25" t="s">
        <v>60</v>
      </c>
      <c r="D15" s="36" t="s">
        <v>33</v>
      </c>
      <c r="E15" s="25">
        <v>303.14999999999998</v>
      </c>
      <c r="F15" s="36">
        <f t="shared" ref="F15:F18" si="12">F12</f>
        <v>1.01</v>
      </c>
      <c r="G15" s="25">
        <v>3</v>
      </c>
      <c r="H15" s="37">
        <f>H14</f>
        <v>7.4</v>
      </c>
      <c r="I15" s="38">
        <f t="shared" si="9"/>
        <v>7.4</v>
      </c>
      <c r="J15" s="39">
        <f t="shared" si="10"/>
        <v>7.4</v>
      </c>
      <c r="K15" s="35" t="s">
        <v>31</v>
      </c>
      <c r="L15" s="40">
        <v>400</v>
      </c>
      <c r="M15" s="35" t="s">
        <v>28</v>
      </c>
      <c r="N15" s="40">
        <f t="shared" si="0"/>
        <v>400</v>
      </c>
      <c r="O15" s="25" t="s">
        <v>34</v>
      </c>
      <c r="P15" s="40">
        <f t="shared" ref="P15:P16" si="13">L15/1</f>
        <v>400</v>
      </c>
      <c r="S15" s="35"/>
      <c r="T15" s="41"/>
      <c r="W15" s="35"/>
      <c r="X15" s="41"/>
      <c r="AA15" s="35"/>
      <c r="AB15" s="41"/>
      <c r="AC15" s="35"/>
      <c r="AD15" s="41"/>
    </row>
    <row r="16" spans="1:30" s="25" customFormat="1" x14ac:dyDescent="0.2">
      <c r="A16" s="35">
        <f t="shared" si="8"/>
        <v>15</v>
      </c>
      <c r="B16" s="36" t="s">
        <v>45</v>
      </c>
      <c r="C16" s="25" t="s">
        <v>61</v>
      </c>
      <c r="D16" s="36" t="s">
        <v>33</v>
      </c>
      <c r="E16" s="25">
        <v>313.14999999999998</v>
      </c>
      <c r="F16" s="36">
        <f t="shared" si="12"/>
        <v>1.01</v>
      </c>
      <c r="G16" s="25">
        <v>3</v>
      </c>
      <c r="H16" s="37">
        <f>H14</f>
        <v>7.4</v>
      </c>
      <c r="I16" s="38">
        <f t="shared" si="9"/>
        <v>7.4</v>
      </c>
      <c r="J16" s="39">
        <f t="shared" si="10"/>
        <v>7.4</v>
      </c>
      <c r="K16" s="35" t="s">
        <v>31</v>
      </c>
      <c r="L16" s="40">
        <v>400</v>
      </c>
      <c r="M16" s="35" t="s">
        <v>28</v>
      </c>
      <c r="N16" s="40">
        <f t="shared" si="0"/>
        <v>400</v>
      </c>
      <c r="O16" s="25" t="s">
        <v>34</v>
      </c>
      <c r="P16" s="40">
        <f t="shared" si="13"/>
        <v>400</v>
      </c>
      <c r="S16" s="35"/>
      <c r="T16" s="41"/>
      <c r="W16" s="35"/>
      <c r="X16" s="41"/>
      <c r="AA16" s="35"/>
      <c r="AB16" s="41"/>
      <c r="AC16" s="35"/>
      <c r="AD16" s="41"/>
    </row>
    <row r="17" spans="1:30" s="25" customFormat="1" x14ac:dyDescent="0.2">
      <c r="A17" s="35">
        <f t="shared" si="8"/>
        <v>16</v>
      </c>
      <c r="B17" s="36" t="s">
        <v>46</v>
      </c>
      <c r="C17" s="25" t="s">
        <v>62</v>
      </c>
      <c r="D17" s="36" t="s">
        <v>33</v>
      </c>
      <c r="E17" s="25">
        <v>293.14999999999998</v>
      </c>
      <c r="F17" s="36">
        <f t="shared" si="12"/>
        <v>1.01</v>
      </c>
      <c r="G17" s="25">
        <v>3</v>
      </c>
      <c r="H17" s="37">
        <v>8.1999999999999993</v>
      </c>
      <c r="I17" s="38">
        <f t="shared" si="9"/>
        <v>8.1999999999999993</v>
      </c>
      <c r="J17" s="39">
        <f t="shared" si="10"/>
        <v>8.1999999999999993</v>
      </c>
      <c r="K17" s="35" t="s">
        <v>31</v>
      </c>
      <c r="L17" s="40">
        <v>400</v>
      </c>
      <c r="M17" s="35" t="s">
        <v>28</v>
      </c>
      <c r="N17" s="40">
        <f t="shared" si="0"/>
        <v>400</v>
      </c>
      <c r="O17" s="25" t="s">
        <v>34</v>
      </c>
      <c r="P17" s="40">
        <f>L17/0.5</f>
        <v>800</v>
      </c>
      <c r="S17" s="35"/>
      <c r="T17" s="41"/>
      <c r="W17" s="35"/>
      <c r="X17" s="41"/>
      <c r="AA17" s="35"/>
      <c r="AB17" s="41"/>
      <c r="AC17" s="35"/>
      <c r="AD17" s="41"/>
    </row>
    <row r="18" spans="1:30" s="25" customFormat="1" x14ac:dyDescent="0.2">
      <c r="A18" s="35">
        <f t="shared" si="8"/>
        <v>17</v>
      </c>
      <c r="B18" s="36" t="s">
        <v>46</v>
      </c>
      <c r="C18" s="25" t="s">
        <v>63</v>
      </c>
      <c r="D18" s="36" t="s">
        <v>33</v>
      </c>
      <c r="E18" s="25">
        <v>303.14999999999998</v>
      </c>
      <c r="F18" s="36">
        <f t="shared" si="12"/>
        <v>1.01</v>
      </c>
      <c r="G18" s="25">
        <v>3</v>
      </c>
      <c r="H18" s="37">
        <f>H17</f>
        <v>8.1999999999999993</v>
      </c>
      <c r="I18" s="38">
        <f t="shared" si="9"/>
        <v>8.1999999999999993</v>
      </c>
      <c r="J18" s="39">
        <f t="shared" si="10"/>
        <v>8.1999999999999993</v>
      </c>
      <c r="K18" s="35" t="s">
        <v>31</v>
      </c>
      <c r="L18" s="40">
        <v>400</v>
      </c>
      <c r="M18" s="35" t="s">
        <v>28</v>
      </c>
      <c r="N18" s="40">
        <f t="shared" si="0"/>
        <v>400</v>
      </c>
      <c r="O18" s="25" t="s">
        <v>34</v>
      </c>
      <c r="P18" s="40">
        <f>L18/0.5</f>
        <v>800</v>
      </c>
      <c r="S18" s="35"/>
      <c r="T18" s="41"/>
      <c r="W18" s="35"/>
      <c r="X18" s="41"/>
      <c r="AA18" s="35"/>
      <c r="AB18" s="41"/>
      <c r="AC18" s="35"/>
      <c r="AD18" s="41"/>
    </row>
    <row r="19" spans="1:30" s="25" customFormat="1" x14ac:dyDescent="0.2">
      <c r="A19" s="35">
        <f t="shared" si="8"/>
        <v>18</v>
      </c>
      <c r="B19" s="36" t="s">
        <v>46</v>
      </c>
      <c r="C19" s="25" t="s">
        <v>64</v>
      </c>
      <c r="D19" s="36" t="s">
        <v>33</v>
      </c>
      <c r="E19" s="25">
        <v>313.14999999999998</v>
      </c>
      <c r="F19" s="36">
        <f>F14</f>
        <v>1.01</v>
      </c>
      <c r="G19" s="25">
        <v>3</v>
      </c>
      <c r="H19" s="37">
        <f>H17</f>
        <v>8.1999999999999993</v>
      </c>
      <c r="I19" s="38">
        <f t="shared" ref="I19" si="14">H19</f>
        <v>8.1999999999999993</v>
      </c>
      <c r="J19" s="39">
        <f t="shared" ref="J19" si="15">H19</f>
        <v>8.1999999999999993</v>
      </c>
      <c r="K19" s="35" t="s">
        <v>31</v>
      </c>
      <c r="L19" s="40">
        <v>400</v>
      </c>
      <c r="M19" s="35" t="s">
        <v>28</v>
      </c>
      <c r="N19" s="40">
        <f t="shared" ref="N19" si="16">L19</f>
        <v>400</v>
      </c>
      <c r="O19" s="25" t="s">
        <v>34</v>
      </c>
      <c r="P19" s="40">
        <f>L19/0.5</f>
        <v>800</v>
      </c>
      <c r="S19" s="35"/>
      <c r="T19" s="41"/>
      <c r="W19" s="35"/>
      <c r="X19" s="41"/>
      <c r="AA19" s="35"/>
      <c r="AB19" s="41"/>
      <c r="AC19" s="35"/>
      <c r="AD19" s="41"/>
    </row>
    <row r="20" spans="1:30" x14ac:dyDescent="0.2">
      <c r="C20" s="22"/>
      <c r="H20" s="10"/>
      <c r="I20" s="11"/>
      <c r="J20" s="12"/>
      <c r="N20" s="13"/>
      <c r="P20" s="27"/>
    </row>
    <row r="21" spans="1:30" x14ac:dyDescent="0.2">
      <c r="C21" s="22"/>
      <c r="H21" s="10"/>
      <c r="I21" s="11"/>
      <c r="J21" s="12"/>
      <c r="N21" s="13"/>
    </row>
    <row r="22" spans="1:30" x14ac:dyDescent="0.2">
      <c r="C22" s="22"/>
      <c r="H22" s="10"/>
      <c r="I22" s="11"/>
      <c r="J22" s="12"/>
      <c r="N22" s="13"/>
    </row>
    <row r="23" spans="1:30" x14ac:dyDescent="0.2">
      <c r="C23" s="22"/>
      <c r="H23" s="10"/>
      <c r="I23" s="11"/>
      <c r="J23" s="12"/>
      <c r="N23" s="13"/>
    </row>
  </sheetData>
  <phoneticPr fontId="3" type="noConversion"/>
  <dataValidations count="2">
    <dataValidation type="decimal" allowBlank="1" showInputMessage="1" showErrorMessage="1" sqref="I24:I236" xr:uid="{00000000-0002-0000-0000-000000000000}">
      <formula1>0</formula1>
      <formula2>100</formula2>
    </dataValidation>
    <dataValidation type="whole" allowBlank="1" showInputMessage="1" showErrorMessage="1" sqref="H24:H236" xr:uid="{00000000-0002-0000-0000-000001000000}">
      <formula1>1</formula1>
      <formula2>10</formula2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'list-molecules'!$B:$B</xm:f>
          </x14:formula1>
          <xm:sqref>S12:S236 W12:W236 Y12:Y236 AA12:AA236 AC12:AC236 Q12:Q236 U12:U236 M2:M236 K2:K236 O2:O236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zoomScale="130" zoomScaleNormal="130" workbookViewId="0">
      <selection activeCell="G5" sqref="G5"/>
    </sheetView>
  </sheetViews>
  <sheetFormatPr baseColWidth="10" defaultColWidth="11.5" defaultRowHeight="15" x14ac:dyDescent="0.2"/>
  <cols>
    <col min="1" max="1" width="18.6640625" customWidth="1"/>
    <col min="2" max="2" width="30.6640625" customWidth="1"/>
  </cols>
  <sheetData>
    <row r="1" spans="1:12" s="3" customFormat="1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J1" s="23" t="s">
        <v>36</v>
      </c>
      <c r="K1" s="25" t="s">
        <v>37</v>
      </c>
      <c r="L1" s="26" t="s">
        <v>38</v>
      </c>
    </row>
    <row r="2" spans="1:12" x14ac:dyDescent="0.2">
      <c r="A2" s="23" t="s">
        <v>27</v>
      </c>
      <c r="B2" s="23" t="s">
        <v>26</v>
      </c>
      <c r="C2" s="23" t="s">
        <v>30</v>
      </c>
      <c r="D2" s="23">
        <v>19</v>
      </c>
      <c r="E2" s="24">
        <v>111.17</v>
      </c>
    </row>
    <row r="3" spans="1:12" x14ac:dyDescent="0.2">
      <c r="A3" s="25" t="s">
        <v>27</v>
      </c>
      <c r="B3" s="25" t="s">
        <v>28</v>
      </c>
      <c r="C3" s="25" t="s">
        <v>29</v>
      </c>
      <c r="D3" s="25">
        <v>17</v>
      </c>
      <c r="E3" s="25">
        <v>299.08999999999997</v>
      </c>
    </row>
    <row r="4" spans="1:12" x14ac:dyDescent="0.2">
      <c r="A4" s="23" t="s">
        <v>27</v>
      </c>
      <c r="B4" s="23" t="s">
        <v>31</v>
      </c>
      <c r="C4" s="23" t="s">
        <v>32</v>
      </c>
      <c r="D4" s="23">
        <v>53</v>
      </c>
      <c r="E4" s="23">
        <v>242.46</v>
      </c>
      <c r="I4" s="4"/>
    </row>
    <row r="5" spans="1:12" x14ac:dyDescent="0.2">
      <c r="A5" s="26" t="s">
        <v>33</v>
      </c>
      <c r="B5" s="26" t="s">
        <v>34</v>
      </c>
      <c r="C5" s="26" t="s">
        <v>35</v>
      </c>
      <c r="D5" s="26">
        <v>17</v>
      </c>
      <c r="E5" s="26">
        <v>264.05</v>
      </c>
    </row>
    <row r="6" spans="1:12" x14ac:dyDescent="0.2">
      <c r="A6" s="25" t="s">
        <v>27</v>
      </c>
      <c r="B6" s="25" t="s">
        <v>39</v>
      </c>
      <c r="C6" s="25" t="s">
        <v>40</v>
      </c>
      <c r="D6" s="25">
        <v>29</v>
      </c>
      <c r="E6" s="25">
        <v>499.12</v>
      </c>
      <c r="F6" s="6"/>
    </row>
    <row r="9" spans="1:12" x14ac:dyDescent="0.2">
      <c r="E9" s="9"/>
    </row>
    <row r="10" spans="1:12" x14ac:dyDescent="0.2">
      <c r="E10" s="9"/>
    </row>
    <row r="11" spans="1:12" x14ac:dyDescent="0.2">
      <c r="E11" s="9"/>
    </row>
    <row r="12" spans="1:12" x14ac:dyDescent="0.2">
      <c r="E12" s="9"/>
    </row>
    <row r="13" spans="1:12" x14ac:dyDescent="0.2">
      <c r="E13" s="9"/>
    </row>
  </sheetData>
  <phoneticPr fontId="3" type="noConversion"/>
  <conditionalFormatting sqref="E1:E3 E5:E7 E9:E10 E12:E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phase-homo</vt:lpstr>
      <vt:lpstr>list-molecules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Cea Klapp</dc:creator>
  <cp:keywords/>
  <dc:description/>
  <cp:lastModifiedBy>Bastián Ignacio González Barramuño</cp:lastModifiedBy>
  <cp:revision/>
  <dcterms:created xsi:type="dcterms:W3CDTF">2022-04-29T12:32:40Z</dcterms:created>
  <dcterms:modified xsi:type="dcterms:W3CDTF">2025-11-06T18:21:30Z</dcterms:modified>
  <cp:category/>
  <cp:contentStatus/>
</cp:coreProperties>
</file>